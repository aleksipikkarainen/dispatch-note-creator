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kkis\Downloads\"/>
    </mc:Choice>
  </mc:AlternateContent>
  <xr:revisionPtr revIDLastSave="0" documentId="13_ncr:1_{A84DEFF9-BBBC-46DE-A1DE-5FD39759C4C8}" xr6:coauthVersionLast="47" xr6:coauthVersionMax="47" xr10:uidLastSave="{00000000-0000-0000-0000-000000000000}"/>
  <bookViews>
    <workbookView xWindow="-120" yWindow="-120" windowWidth="38640" windowHeight="21240" activeTab="2" xr2:uid="{C33112A9-691F-498C-847C-922FFB7FADFF}"/>
  </bookViews>
  <sheets>
    <sheet name="LIST" sheetId="1" r:id="rId1"/>
    <sheet name="ALTLIST" sheetId="3" r:id="rId2"/>
    <sheet name="Kasvipassi" sheetId="4" r:id="rId3"/>
    <sheet name="PRICES" sheetId="2" r:id="rId4"/>
  </sheets>
  <definedNames>
    <definedName name="_xlnm.Print_Area" localSheetId="2">Kasvipassi!$A$1:$E$100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3" l="1"/>
  <c r="I30" i="3" s="1"/>
  <c r="I5" i="3"/>
  <c r="D10" i="3"/>
  <c r="D30" i="3" s="1"/>
  <c r="D5" i="3"/>
  <c r="I10" i="1"/>
  <c r="I30" i="1" s="1"/>
  <c r="I5" i="1"/>
  <c r="D5" i="1"/>
  <c r="D10" i="1"/>
  <c r="I31" i="3" l="1"/>
  <c r="I32" i="3" s="1"/>
  <c r="D31" i="3"/>
  <c r="D32" i="3" s="1"/>
  <c r="I31" i="1"/>
  <c r="I32" i="1" s="1"/>
  <c r="D30" i="1"/>
  <c r="D31" i="1" s="1"/>
  <c r="D32" i="1" s="1"/>
</calcChain>
</file>

<file path=xl/sharedStrings.xml><?xml version="1.0" encoding="utf-8"?>
<sst xmlns="http://schemas.openxmlformats.org/spreadsheetml/2006/main" count="204" uniqueCount="144">
  <si>
    <t>Nimi</t>
  </si>
  <si>
    <t>Osoite</t>
  </si>
  <si>
    <t>kpl</t>
  </si>
  <si>
    <t>Tavaralaatu</t>
  </si>
  <si>
    <t>à-hinta</t>
  </si>
  <si>
    <t>yht.</t>
  </si>
  <si>
    <t>LÄHETYSLISTA</t>
  </si>
  <si>
    <t>veroton</t>
  </si>
  <si>
    <t>alv.24%</t>
  </si>
  <si>
    <t>verollinen yht.</t>
  </si>
  <si>
    <t>MÄÄRÄ</t>
  </si>
  <si>
    <t>NIMI</t>
  </si>
  <si>
    <t>Orvokki</t>
  </si>
  <si>
    <t>Hinnat:</t>
  </si>
  <si>
    <t>MUU</t>
  </si>
  <si>
    <t>Ruusubegonia</t>
  </si>
  <si>
    <t>Senetti</t>
  </si>
  <si>
    <t>Pelargonia amppeli</t>
  </si>
  <si>
    <t>Karjalanneito amppeli</t>
  </si>
  <si>
    <t>Japaninkello amppeli</t>
  </si>
  <si>
    <t>Lumihiutale ampppeli</t>
  </si>
  <si>
    <t>Orvokki amppeli</t>
  </si>
  <si>
    <t>Mansikka amppeli</t>
  </si>
  <si>
    <t>Lobelia amppeli</t>
  </si>
  <si>
    <t>Surfinia amppeli</t>
  </si>
  <si>
    <t>Ruusubegonia amppeli</t>
  </si>
  <si>
    <t>Verbena amppeli</t>
  </si>
  <si>
    <t>Verenpisara amppeli</t>
  </si>
  <si>
    <t>Pitsikaulus amppeli</t>
  </si>
  <si>
    <t>Monilajimix amppeli</t>
  </si>
  <si>
    <t>Ahkeraliisa</t>
  </si>
  <si>
    <t>Daalietta</t>
  </si>
  <si>
    <t>Gallery daalia</t>
  </si>
  <si>
    <t>Diana</t>
  </si>
  <si>
    <t>Hopealehti</t>
  </si>
  <si>
    <t>Hopeakäpälä</t>
  </si>
  <si>
    <t>Hopeaputous</t>
  </si>
  <si>
    <t>Suikeroalpi</t>
  </si>
  <si>
    <t>Viherputous</t>
  </si>
  <si>
    <t>Intiaaniminttu</t>
  </si>
  <si>
    <t>Maahumala</t>
  </si>
  <si>
    <t>Lumihiutale</t>
  </si>
  <si>
    <t>Muratti</t>
  </si>
  <si>
    <t>Huovinkukka</t>
  </si>
  <si>
    <t>Japaninkello</t>
  </si>
  <si>
    <t>Krassi</t>
  </si>
  <si>
    <t>Kerrottu ahkeraliisa</t>
  </si>
  <si>
    <t>Uuden Guinean Liisa</t>
  </si>
  <si>
    <t>Kesäharso</t>
  </si>
  <si>
    <t>Mustasilmäsusanna</t>
  </si>
  <si>
    <t>Keijunmekko</t>
  </si>
  <si>
    <t>Kelloköynnös</t>
  </si>
  <si>
    <t>Leijonankita</t>
  </si>
  <si>
    <t>Lobelia</t>
  </si>
  <si>
    <t>Marketta</t>
  </si>
  <si>
    <t>Mukulabegonia</t>
  </si>
  <si>
    <t>Pelargonia</t>
  </si>
  <si>
    <t xml:space="preserve">Petunia </t>
  </si>
  <si>
    <t>Pikkubegonia</t>
  </si>
  <si>
    <t>Riippupelargonia</t>
  </si>
  <si>
    <t>Ruukkuneilikka</t>
  </si>
  <si>
    <t>Samettiruusu matala</t>
  </si>
  <si>
    <t>Samettiruusu 1/2 korkea</t>
  </si>
  <si>
    <t>Siniviuhka</t>
  </si>
  <si>
    <t>Sarviorvokki</t>
  </si>
  <si>
    <t>Tähtisilmä</t>
  </si>
  <si>
    <t>Verenpisara</t>
  </si>
  <si>
    <t>Surfinia</t>
  </si>
  <si>
    <t>Maggiore daalia</t>
  </si>
  <si>
    <t>Kukonharja</t>
  </si>
  <si>
    <t>Verbena</t>
  </si>
  <si>
    <t>Hietalilja</t>
  </si>
  <si>
    <t>Elefanttisulkahirssi</t>
  </si>
  <si>
    <t>Avomaankurkku</t>
  </si>
  <si>
    <t>Kurpitsa</t>
  </si>
  <si>
    <t>Tomaatti</t>
  </si>
  <si>
    <t xml:space="preserve">A. Pelargonium peltatum </t>
  </si>
  <si>
    <t>A Antirrhium majus</t>
  </si>
  <si>
    <t>A Argyranthemum Frutescens-ryhmä</t>
  </si>
  <si>
    <t>A Begonia Elatior-ryhmä</t>
  </si>
  <si>
    <t>A Calibrachoa</t>
  </si>
  <si>
    <t>A Cobaea scandens</t>
  </si>
  <si>
    <t>A Begonia x tuberhybrida</t>
  </si>
  <si>
    <t>A Begonia x hybrida Semperflorens-ryhmä</t>
  </si>
  <si>
    <t>A Petunia x hybrida</t>
  </si>
  <si>
    <t>A Begonia x tuberhybrida Pendula-ryhmä</t>
  </si>
  <si>
    <t>A Dahlia x hortensis</t>
  </si>
  <si>
    <t>A Diachia vigilis</t>
  </si>
  <si>
    <t>A Dianthus caryophyllus</t>
  </si>
  <si>
    <t>A Dichondra argentea</t>
  </si>
  <si>
    <t>A Fuchsia Hybrida-ryhmä</t>
  </si>
  <si>
    <t>A Glechoma hederacea</t>
  </si>
  <si>
    <t>A Gypsophila muralis</t>
  </si>
  <si>
    <t>A Hedera Helix</t>
  </si>
  <si>
    <t>A Helichrysum petiolare</t>
  </si>
  <si>
    <t>A Impatiens hawkeri</t>
  </si>
  <si>
    <t>A Impatiens walleriana</t>
  </si>
  <si>
    <t>A Micromeria</t>
  </si>
  <si>
    <t>A Lobelia erinus Compacta-ryhmä</t>
  </si>
  <si>
    <t>A Lysimachia</t>
  </si>
  <si>
    <t>A Osteospermum Ecklonis-ryhmä</t>
  </si>
  <si>
    <t>A Senecio pericallis</t>
  </si>
  <si>
    <t>A Pelargonium peltatum</t>
  </si>
  <si>
    <t>A Pelargonium x hortonum Zonale-ryhmä</t>
  </si>
  <si>
    <t>A Rhodochiton atrosanguineum</t>
  </si>
  <si>
    <t>A Sanvitalia x speciosa</t>
  </si>
  <si>
    <t>A Scaevola aemula</t>
  </si>
  <si>
    <t>A Senecio cineraria</t>
  </si>
  <si>
    <t>A Sutera cordata</t>
  </si>
  <si>
    <t>A Tagetes erecta</t>
  </si>
  <si>
    <t>A Tagetes patula</t>
  </si>
  <si>
    <t>A Thunbergia alata</t>
  </si>
  <si>
    <t>(köynnös)</t>
  </si>
  <si>
    <t>A Tropaeolum majus</t>
  </si>
  <si>
    <t>A Tropaeolum majus Nanum-ryhm</t>
  </si>
  <si>
    <t>(pensas)</t>
  </si>
  <si>
    <t>A Verbena x hybrida</t>
  </si>
  <si>
    <t>A Viola cornuta</t>
  </si>
  <si>
    <t>A Viola Wittrockiana</t>
  </si>
  <si>
    <t>A Cucumis sativus</t>
  </si>
  <si>
    <t>A Cucurbita pepo</t>
  </si>
  <si>
    <t>A Solanum lycopersicum</t>
  </si>
  <si>
    <t>A Anthericum liliago</t>
  </si>
  <si>
    <t>Arabiansulkahirssi</t>
  </si>
  <si>
    <t>A Pennisetum setaceum</t>
  </si>
  <si>
    <t>A Pennisetum purpureum</t>
  </si>
  <si>
    <t>A Fragaria</t>
  </si>
  <si>
    <t>A Brachysome multifida</t>
  </si>
  <si>
    <t>A Celosia argentea Cristata-ryhmä</t>
  </si>
  <si>
    <t>Kasvipassi/Plantpassport</t>
  </si>
  <si>
    <t>A</t>
  </si>
  <si>
    <t>D-rivin teksti:</t>
  </si>
  <si>
    <t>C-rivin teksti:</t>
  </si>
  <si>
    <t>E-rivin teksti:</t>
  </si>
  <si>
    <t>C.</t>
  </si>
  <si>
    <t>B.</t>
  </si>
  <si>
    <t>D.</t>
  </si>
  <si>
    <t>TUKKU</t>
  </si>
  <si>
    <t>Latina</t>
  </si>
  <si>
    <t>Esimerkki Puutarha Oy</t>
  </si>
  <si>
    <t>Keksittytie 154 B</t>
  </si>
  <si>
    <t>10000 Helsinki</t>
  </si>
  <si>
    <t>040-1234567</t>
  </si>
  <si>
    <t>Y-tunnus:123456-7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</si>
</sst>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0" xfId="0" applyNumberFormat="1"/>
    <xf numFmtId="2" fontId="0" fillId="0" borderId="1" xfId="0" applyNumberFormat="1" applyBorder="1"/>
    <xf numFmtId="0" fontId="0" fillId="0" borderId="1" xfId="0" applyBorder="1" applyAlignment="1">
      <alignment horizontal="right"/>
    </xf>
    <xf numFmtId="0" fontId="2" fillId="0" borderId="1" xfId="0" applyFont="1" applyBorder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2" fontId="2" fillId="0" borderId="1" xfId="0" applyNumberFormat="1" applyFont="1" applyBorder="1" applyAlignment="1">
      <alignment horizontal="right" vertical="center"/>
    </xf>
    <xf numFmtId="2" fontId="0" fillId="0" borderId="0" xfId="0" applyNumberFormat="1"/>
    <xf numFmtId="0" fontId="0" fillId="2" borderId="6" xfId="0" applyFill="1" applyBorder="1"/>
    <xf numFmtId="0" fontId="0" fillId="2" borderId="8" xfId="0" applyFill="1" applyBorder="1"/>
    <xf numFmtId="0" fontId="0" fillId="2" borderId="4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5" xfId="0" applyFill="1" applyBorder="1"/>
    <xf numFmtId="0" fontId="0" fillId="0" borderId="1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15241</xdr:colOff>
      <xdr:row>1</xdr:row>
      <xdr:rowOff>38100</xdr:rowOff>
    </xdr:from>
    <xdr:to>
      <xdr:col>1</xdr:col>
      <xdr:colOff>1752601</xdr:colOff>
      <xdr:row>7</xdr:row>
      <xdr:rowOff>91440</xdr:rowOff>
    </xdr:to>
    <xdr:pic>
      <xdr:nvPicPr>
        <xdr:cNvPr id="3" name="Kuva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561" y="228600"/>
          <a:ext cx="1737360" cy="1158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</xdr:row>
          <xdr:rowOff>114300</xdr:rowOff>
        </xdr:from>
        <xdr:to>
          <xdr:col>6</xdr:col>
          <xdr:colOff>485775</xdr:colOff>
          <xdr:row>3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Järjestä A-Ö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1</xdr:row>
          <xdr:rowOff>0</xdr:rowOff>
        </xdr:from>
        <xdr:to>
          <xdr:col>4</xdr:col>
          <xdr:colOff>1238250</xdr:colOff>
          <xdr:row>2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Tukku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3</xdr:row>
          <xdr:rowOff>28575</xdr:rowOff>
        </xdr:from>
        <xdr:to>
          <xdr:col>4</xdr:col>
          <xdr:colOff>1238250</xdr:colOff>
          <xdr:row>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5</xdr:row>
          <xdr:rowOff>114300</xdr:rowOff>
        </xdr:from>
        <xdr:to>
          <xdr:col>5</xdr:col>
          <xdr:colOff>85725</xdr:colOff>
          <xdr:row>8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F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26CE1-D44C-4E1C-B89C-2D45E25D11EE}">
  <sheetPr codeName="Sheet1"/>
  <dimension ref="A1:I32"/>
  <sheetViews>
    <sheetView workbookViewId="0">
      <selection activeCell="D42" sqref="D42"/>
    </sheetView>
  </sheetViews>
  <sheetFormatPr defaultRowHeight="15" x14ac:dyDescent="0.25"/>
  <cols>
    <col min="2" max="2" width="27.5703125" customWidth="1"/>
    <col min="3" max="3" width="11.85546875" customWidth="1"/>
    <col min="4" max="4" width="11.5703125" customWidth="1"/>
    <col min="6" max="6" width="8.85546875" customWidth="1"/>
    <col min="7" max="7" width="28.28515625" customWidth="1"/>
    <col min="8" max="8" width="12" customWidth="1"/>
    <col min="9" max="9" width="10.42578125" customWidth="1"/>
  </cols>
  <sheetData>
    <row r="1" spans="1:9" x14ac:dyDescent="0.25">
      <c r="A1" t="s">
        <v>139</v>
      </c>
      <c r="C1" t="s">
        <v>143</v>
      </c>
      <c r="F1" t="s">
        <v>139</v>
      </c>
      <c r="H1" t="s">
        <v>143</v>
      </c>
    </row>
    <row r="2" spans="1:9" x14ac:dyDescent="0.25">
      <c r="A2" t="s">
        <v>140</v>
      </c>
      <c r="F2" t="s">
        <v>140</v>
      </c>
    </row>
    <row r="3" spans="1:9" x14ac:dyDescent="0.25">
      <c r="A3" t="s">
        <v>141</v>
      </c>
      <c r="C3" t="s">
        <v>6</v>
      </c>
      <c r="F3" t="s">
        <v>141</v>
      </c>
      <c r="H3" t="s">
        <v>6</v>
      </c>
    </row>
    <row r="4" spans="1:9" x14ac:dyDescent="0.25">
      <c r="A4" t="s">
        <v>142</v>
      </c>
      <c r="F4" t="s">
        <v>142</v>
      </c>
    </row>
    <row r="5" spans="1:9" x14ac:dyDescent="0.25">
      <c r="D5" s="5">
        <f ca="1">TODAY()</f>
        <v>45103</v>
      </c>
      <c r="I5" s="5">
        <f ca="1">TODAY()</f>
        <v>45103</v>
      </c>
    </row>
    <row r="6" spans="1:9" x14ac:dyDescent="0.25">
      <c r="A6" s="3" t="s">
        <v>0</v>
      </c>
      <c r="B6" s="3"/>
      <c r="F6" s="3" t="s">
        <v>0</v>
      </c>
      <c r="G6" s="3"/>
    </row>
    <row r="7" spans="1:9" x14ac:dyDescent="0.25">
      <c r="A7" s="4" t="s">
        <v>1</v>
      </c>
      <c r="B7" s="4"/>
      <c r="F7" s="4" t="s">
        <v>1</v>
      </c>
      <c r="G7" s="4"/>
    </row>
    <row r="9" spans="1:9" x14ac:dyDescent="0.25">
      <c r="A9" s="1" t="s">
        <v>2</v>
      </c>
      <c r="B9" s="1" t="s">
        <v>3</v>
      </c>
      <c r="C9" s="1" t="s">
        <v>4</v>
      </c>
      <c r="D9" s="1" t="s">
        <v>5</v>
      </c>
      <c r="F9" s="1" t="s">
        <v>2</v>
      </c>
      <c r="G9" s="1" t="s">
        <v>3</v>
      </c>
      <c r="H9" s="1" t="s">
        <v>4</v>
      </c>
      <c r="I9" s="1" t="s">
        <v>5</v>
      </c>
    </row>
    <row r="10" spans="1:9" x14ac:dyDescent="0.25">
      <c r="A10" s="2"/>
      <c r="B10" s="2"/>
      <c r="C10" s="6"/>
      <c r="D10" s="6">
        <f>+A10*C10</f>
        <v>0</v>
      </c>
      <c r="F10" s="2"/>
      <c r="G10" s="2"/>
      <c r="H10" s="6"/>
      <c r="I10" s="6">
        <f>+F10*H10</f>
        <v>0</v>
      </c>
    </row>
    <row r="11" spans="1:9" x14ac:dyDescent="0.25">
      <c r="A11" s="2"/>
      <c r="B11" s="2"/>
      <c r="C11" s="6"/>
      <c r="D11" s="6"/>
      <c r="F11" s="2"/>
      <c r="G11" s="2"/>
      <c r="H11" s="6"/>
      <c r="I11" s="6"/>
    </row>
    <row r="12" spans="1:9" x14ac:dyDescent="0.25">
      <c r="A12" s="2"/>
      <c r="B12" s="2"/>
      <c r="C12" s="6"/>
      <c r="D12" s="6"/>
      <c r="F12" s="2"/>
      <c r="G12" s="2"/>
      <c r="H12" s="6"/>
      <c r="I12" s="6"/>
    </row>
    <row r="13" spans="1:9" x14ac:dyDescent="0.25">
      <c r="A13" s="2"/>
      <c r="B13" s="2"/>
      <c r="C13" s="6"/>
      <c r="D13" s="6"/>
      <c r="F13" s="2"/>
      <c r="G13" s="2"/>
      <c r="H13" s="6"/>
      <c r="I13" s="6"/>
    </row>
    <row r="14" spans="1:9" x14ac:dyDescent="0.25">
      <c r="A14" s="2"/>
      <c r="B14" s="2"/>
      <c r="C14" s="6"/>
      <c r="D14" s="6"/>
      <c r="F14" s="2"/>
      <c r="G14" s="2"/>
      <c r="H14" s="6"/>
      <c r="I14" s="6"/>
    </row>
    <row r="15" spans="1:9" x14ac:dyDescent="0.25">
      <c r="A15" s="2"/>
      <c r="B15" s="2"/>
      <c r="C15" s="6"/>
      <c r="D15" s="6"/>
      <c r="F15" s="2"/>
      <c r="G15" s="2"/>
      <c r="H15" s="6"/>
      <c r="I15" s="6"/>
    </row>
    <row r="16" spans="1:9" x14ac:dyDescent="0.25">
      <c r="A16" s="2"/>
      <c r="B16" s="2"/>
      <c r="C16" s="6"/>
      <c r="D16" s="6"/>
      <c r="F16" s="2"/>
      <c r="G16" s="2"/>
      <c r="H16" s="6"/>
      <c r="I16" s="6"/>
    </row>
    <row r="17" spans="1:9" x14ac:dyDescent="0.25">
      <c r="A17" s="2"/>
      <c r="B17" s="2"/>
      <c r="C17" s="6"/>
      <c r="D17" s="6"/>
      <c r="F17" s="2"/>
      <c r="G17" s="2"/>
      <c r="H17" s="6"/>
      <c r="I17" s="6"/>
    </row>
    <row r="18" spans="1:9" x14ac:dyDescent="0.25">
      <c r="A18" s="2"/>
      <c r="B18" s="2"/>
      <c r="C18" s="6"/>
      <c r="D18" s="6"/>
      <c r="F18" s="2"/>
      <c r="G18" s="2"/>
      <c r="H18" s="6"/>
      <c r="I18" s="6"/>
    </row>
    <row r="19" spans="1:9" x14ac:dyDescent="0.25">
      <c r="A19" s="2"/>
      <c r="B19" s="2"/>
      <c r="C19" s="6"/>
      <c r="D19" s="6"/>
      <c r="F19" s="2"/>
      <c r="G19" s="2"/>
      <c r="H19" s="6"/>
      <c r="I19" s="6"/>
    </row>
    <row r="20" spans="1:9" x14ac:dyDescent="0.25">
      <c r="A20" s="2"/>
      <c r="B20" s="2"/>
      <c r="C20" s="6"/>
      <c r="D20" s="6"/>
      <c r="F20" s="2"/>
      <c r="G20" s="2"/>
      <c r="H20" s="6"/>
      <c r="I20" s="6"/>
    </row>
    <row r="21" spans="1:9" x14ac:dyDescent="0.25">
      <c r="A21" s="2"/>
      <c r="B21" s="2"/>
      <c r="C21" s="6"/>
      <c r="D21" s="6"/>
      <c r="F21" s="2"/>
      <c r="G21" s="2"/>
      <c r="H21" s="6"/>
      <c r="I21" s="6"/>
    </row>
    <row r="22" spans="1:9" x14ac:dyDescent="0.25">
      <c r="A22" s="2"/>
      <c r="B22" s="2"/>
      <c r="C22" s="6"/>
      <c r="D22" s="6"/>
      <c r="F22" s="2"/>
      <c r="G22" s="2"/>
      <c r="H22" s="6"/>
      <c r="I22" s="6"/>
    </row>
    <row r="23" spans="1:9" x14ac:dyDescent="0.25">
      <c r="A23" s="2"/>
      <c r="B23" s="2"/>
      <c r="C23" s="6"/>
      <c r="D23" s="6"/>
      <c r="F23" s="2"/>
      <c r="G23" s="2"/>
      <c r="H23" s="6"/>
      <c r="I23" s="6"/>
    </row>
    <row r="24" spans="1:9" x14ac:dyDescent="0.25">
      <c r="A24" s="2"/>
      <c r="B24" s="2"/>
      <c r="C24" s="6"/>
      <c r="D24" s="6"/>
      <c r="F24" s="2"/>
      <c r="G24" s="2"/>
      <c r="H24" s="6"/>
      <c r="I24" s="6"/>
    </row>
    <row r="25" spans="1:9" x14ac:dyDescent="0.25">
      <c r="A25" s="2"/>
      <c r="B25" s="2"/>
      <c r="C25" s="6"/>
      <c r="D25" s="6"/>
      <c r="F25" s="2"/>
      <c r="G25" s="2"/>
      <c r="H25" s="6"/>
      <c r="I25" s="6"/>
    </row>
    <row r="26" spans="1:9" x14ac:dyDescent="0.25">
      <c r="A26" s="2"/>
      <c r="B26" s="2"/>
      <c r="C26" s="6"/>
      <c r="D26" s="6"/>
      <c r="F26" s="2"/>
      <c r="G26" s="2"/>
      <c r="H26" s="6"/>
      <c r="I26" s="6"/>
    </row>
    <row r="27" spans="1:9" x14ac:dyDescent="0.25">
      <c r="A27" s="2"/>
      <c r="B27" s="2"/>
      <c r="C27" s="6"/>
      <c r="D27" s="6"/>
      <c r="F27" s="2"/>
      <c r="G27" s="2"/>
      <c r="H27" s="6"/>
      <c r="I27" s="6"/>
    </row>
    <row r="28" spans="1:9" x14ac:dyDescent="0.25">
      <c r="A28" s="2"/>
      <c r="B28" s="2"/>
      <c r="C28" s="6"/>
      <c r="D28" s="6"/>
      <c r="F28" s="2"/>
      <c r="G28" s="2"/>
      <c r="H28" s="6"/>
      <c r="I28" s="6"/>
    </row>
    <row r="29" spans="1:9" x14ac:dyDescent="0.25">
      <c r="A29" s="2"/>
      <c r="B29" s="2"/>
      <c r="C29" s="6"/>
      <c r="D29" s="6"/>
      <c r="F29" s="2"/>
      <c r="G29" s="2"/>
      <c r="H29" s="6"/>
      <c r="I29" s="6"/>
    </row>
    <row r="30" spans="1:9" x14ac:dyDescent="0.25">
      <c r="A30" s="2"/>
      <c r="B30" s="7" t="s">
        <v>7</v>
      </c>
      <c r="C30" s="2"/>
      <c r="D30" s="6">
        <f>SUM(D10:D29)</f>
        <v>0</v>
      </c>
      <c r="F30" s="2"/>
      <c r="G30" s="7" t="s">
        <v>7</v>
      </c>
      <c r="H30" s="2"/>
      <c r="I30" s="6">
        <f>SUM(I10:I29)</f>
        <v>0</v>
      </c>
    </row>
    <row r="31" spans="1:9" x14ac:dyDescent="0.25">
      <c r="A31" s="2"/>
      <c r="B31" s="7" t="s">
        <v>8</v>
      </c>
      <c r="C31" s="2"/>
      <c r="D31" s="6">
        <f>+D30*0.24</f>
        <v>0</v>
      </c>
      <c r="F31" s="2"/>
      <c r="G31" s="7" t="s">
        <v>8</v>
      </c>
      <c r="H31" s="2"/>
      <c r="I31" s="6">
        <f>+I30*0.24</f>
        <v>0</v>
      </c>
    </row>
    <row r="32" spans="1:9" x14ac:dyDescent="0.25">
      <c r="A32" s="2"/>
      <c r="B32" s="7" t="s">
        <v>9</v>
      </c>
      <c r="C32" s="2"/>
      <c r="D32" s="6">
        <f>+D30+D31</f>
        <v>0</v>
      </c>
      <c r="F32" s="2"/>
      <c r="G32" s="7" t="s">
        <v>9</v>
      </c>
      <c r="H32" s="2"/>
      <c r="I32" s="6">
        <f>+I30+I31</f>
        <v>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AD71D-9B86-4409-83CF-5D365B0F72E1}">
  <sheetPr codeName="Sheet2"/>
  <dimension ref="A1:I32"/>
  <sheetViews>
    <sheetView workbookViewId="0">
      <selection activeCell="G39" sqref="G39"/>
    </sheetView>
  </sheetViews>
  <sheetFormatPr defaultRowHeight="15" x14ac:dyDescent="0.25"/>
  <cols>
    <col min="2" max="2" width="27.5703125" customWidth="1"/>
    <col min="3" max="3" width="11.85546875" customWidth="1"/>
    <col min="4" max="4" width="11.5703125" customWidth="1"/>
    <col min="6" max="6" width="8.85546875" customWidth="1"/>
    <col min="7" max="7" width="28.28515625" customWidth="1"/>
    <col min="8" max="8" width="12" customWidth="1"/>
    <col min="9" max="9" width="10.7109375" customWidth="1"/>
  </cols>
  <sheetData>
    <row r="1" spans="1:9" x14ac:dyDescent="0.25">
      <c r="A1" t="s">
        <v>139</v>
      </c>
      <c r="C1" t="s">
        <v>143</v>
      </c>
      <c r="F1" t="s">
        <v>139</v>
      </c>
      <c r="H1" t="s">
        <v>143</v>
      </c>
    </row>
    <row r="2" spans="1:9" x14ac:dyDescent="0.25">
      <c r="A2" t="s">
        <v>140</v>
      </c>
      <c r="F2" t="s">
        <v>140</v>
      </c>
    </row>
    <row r="3" spans="1:9" x14ac:dyDescent="0.25">
      <c r="A3" t="s">
        <v>141</v>
      </c>
      <c r="C3" t="s">
        <v>6</v>
      </c>
      <c r="F3" t="s">
        <v>141</v>
      </c>
      <c r="H3" t="s">
        <v>6</v>
      </c>
    </row>
    <row r="4" spans="1:9" x14ac:dyDescent="0.25">
      <c r="A4" t="s">
        <v>142</v>
      </c>
      <c r="F4" t="s">
        <v>142</v>
      </c>
    </row>
    <row r="5" spans="1:9" x14ac:dyDescent="0.25">
      <c r="D5" s="5">
        <f ca="1">TODAY()</f>
        <v>45103</v>
      </c>
      <c r="I5" s="5">
        <f ca="1">TODAY()</f>
        <v>45103</v>
      </c>
    </row>
    <row r="6" spans="1:9" x14ac:dyDescent="0.25">
      <c r="A6" s="3" t="s">
        <v>0</v>
      </c>
      <c r="B6" s="3"/>
      <c r="F6" s="3" t="s">
        <v>0</v>
      </c>
      <c r="G6" s="3"/>
    </row>
    <row r="7" spans="1:9" x14ac:dyDescent="0.25">
      <c r="A7" s="4" t="s">
        <v>1</v>
      </c>
      <c r="B7" s="4"/>
      <c r="F7" s="4" t="s">
        <v>1</v>
      </c>
      <c r="G7" s="4"/>
    </row>
    <row r="9" spans="1:9" x14ac:dyDescent="0.25">
      <c r="A9" s="1" t="s">
        <v>2</v>
      </c>
      <c r="B9" s="1" t="s">
        <v>3</v>
      </c>
      <c r="C9" s="1" t="s">
        <v>4</v>
      </c>
      <c r="D9" s="1" t="s">
        <v>5</v>
      </c>
      <c r="F9" s="1" t="s">
        <v>2</v>
      </c>
      <c r="G9" s="1" t="s">
        <v>3</v>
      </c>
      <c r="H9" s="1" t="s">
        <v>4</v>
      </c>
      <c r="I9" s="1" t="s">
        <v>5</v>
      </c>
    </row>
    <row r="10" spans="1:9" x14ac:dyDescent="0.25">
      <c r="A10" s="2"/>
      <c r="B10" s="2"/>
      <c r="C10" s="6"/>
      <c r="D10" s="6">
        <f>+A10*C10</f>
        <v>0</v>
      </c>
      <c r="F10" s="2"/>
      <c r="G10" s="2"/>
      <c r="H10" s="6"/>
      <c r="I10" s="6">
        <f>+F10*H10</f>
        <v>0</v>
      </c>
    </row>
    <row r="11" spans="1:9" x14ac:dyDescent="0.25">
      <c r="A11" s="2"/>
      <c r="B11" s="2"/>
      <c r="C11" s="6"/>
      <c r="D11" s="6"/>
      <c r="F11" s="2"/>
      <c r="G11" s="2"/>
      <c r="H11" s="6"/>
      <c r="I11" s="6"/>
    </row>
    <row r="12" spans="1:9" x14ac:dyDescent="0.25">
      <c r="A12" s="2"/>
      <c r="B12" s="2"/>
      <c r="C12" s="6"/>
      <c r="D12" s="6"/>
      <c r="F12" s="2"/>
      <c r="G12" s="2"/>
      <c r="H12" s="6"/>
      <c r="I12" s="6"/>
    </row>
    <row r="13" spans="1:9" x14ac:dyDescent="0.25">
      <c r="A13" s="2"/>
      <c r="B13" s="2"/>
      <c r="C13" s="6"/>
      <c r="D13" s="6"/>
      <c r="F13" s="2"/>
      <c r="G13" s="2"/>
      <c r="H13" s="6"/>
      <c r="I13" s="6"/>
    </row>
    <row r="14" spans="1:9" x14ac:dyDescent="0.25">
      <c r="A14" s="2"/>
      <c r="B14" s="2"/>
      <c r="C14" s="6"/>
      <c r="D14" s="6"/>
      <c r="F14" s="2"/>
      <c r="G14" s="2"/>
      <c r="H14" s="6"/>
      <c r="I14" s="6"/>
    </row>
    <row r="15" spans="1:9" x14ac:dyDescent="0.25">
      <c r="A15" s="2"/>
      <c r="B15" s="2"/>
      <c r="C15" s="6"/>
      <c r="D15" s="6"/>
      <c r="F15" s="2"/>
      <c r="G15" s="2"/>
      <c r="H15" s="6"/>
      <c r="I15" s="6"/>
    </row>
    <row r="16" spans="1:9" x14ac:dyDescent="0.25">
      <c r="A16" s="2"/>
      <c r="B16" s="2"/>
      <c r="C16" s="6"/>
      <c r="D16" s="6"/>
      <c r="F16" s="2"/>
      <c r="G16" s="2"/>
      <c r="H16" s="6"/>
      <c r="I16" s="6"/>
    </row>
    <row r="17" spans="1:9" x14ac:dyDescent="0.25">
      <c r="A17" s="2"/>
      <c r="B17" s="2"/>
      <c r="C17" s="6"/>
      <c r="D17" s="6"/>
      <c r="F17" s="2"/>
      <c r="G17" s="2"/>
      <c r="H17" s="6"/>
      <c r="I17" s="6"/>
    </row>
    <row r="18" spans="1:9" x14ac:dyDescent="0.25">
      <c r="A18" s="2"/>
      <c r="B18" s="2"/>
      <c r="C18" s="6"/>
      <c r="D18" s="6"/>
      <c r="F18" s="2"/>
      <c r="G18" s="2"/>
      <c r="H18" s="6"/>
      <c r="I18" s="6"/>
    </row>
    <row r="19" spans="1:9" x14ac:dyDescent="0.25">
      <c r="A19" s="2"/>
      <c r="B19" s="2"/>
      <c r="C19" s="6"/>
      <c r="D19" s="6"/>
      <c r="F19" s="2"/>
      <c r="G19" s="2"/>
      <c r="H19" s="6"/>
      <c r="I19" s="6"/>
    </row>
    <row r="20" spans="1:9" x14ac:dyDescent="0.25">
      <c r="A20" s="2"/>
      <c r="B20" s="2"/>
      <c r="C20" s="6"/>
      <c r="D20" s="6"/>
      <c r="F20" s="2"/>
      <c r="G20" s="2"/>
      <c r="H20" s="6"/>
      <c r="I20" s="6"/>
    </row>
    <row r="21" spans="1:9" x14ac:dyDescent="0.25">
      <c r="A21" s="2"/>
      <c r="B21" s="2"/>
      <c r="C21" s="6"/>
      <c r="D21" s="6"/>
      <c r="F21" s="2"/>
      <c r="G21" s="2"/>
      <c r="H21" s="6"/>
      <c r="I21" s="6"/>
    </row>
    <row r="22" spans="1:9" x14ac:dyDescent="0.25">
      <c r="A22" s="2"/>
      <c r="B22" s="2"/>
      <c r="C22" s="6"/>
      <c r="D22" s="6"/>
      <c r="F22" s="2"/>
      <c r="G22" s="2"/>
      <c r="H22" s="6"/>
      <c r="I22" s="6"/>
    </row>
    <row r="23" spans="1:9" x14ac:dyDescent="0.25">
      <c r="A23" s="2"/>
      <c r="B23" s="2"/>
      <c r="C23" s="6"/>
      <c r="D23" s="6"/>
      <c r="F23" s="2"/>
      <c r="G23" s="2"/>
      <c r="H23" s="6"/>
      <c r="I23" s="6"/>
    </row>
    <row r="24" spans="1:9" x14ac:dyDescent="0.25">
      <c r="A24" s="2"/>
      <c r="B24" s="2"/>
      <c r="C24" s="6"/>
      <c r="D24" s="6"/>
      <c r="F24" s="2"/>
      <c r="G24" s="2"/>
      <c r="H24" s="6"/>
      <c r="I24" s="6"/>
    </row>
    <row r="25" spans="1:9" x14ac:dyDescent="0.25">
      <c r="A25" s="2"/>
      <c r="B25" s="2"/>
      <c r="C25" s="6"/>
      <c r="D25" s="6"/>
      <c r="F25" s="2"/>
      <c r="G25" s="2"/>
      <c r="H25" s="6"/>
      <c r="I25" s="6"/>
    </row>
    <row r="26" spans="1:9" x14ac:dyDescent="0.25">
      <c r="A26" s="2"/>
      <c r="B26" s="2"/>
      <c r="C26" s="6"/>
      <c r="D26" s="6"/>
      <c r="F26" s="2"/>
      <c r="G26" s="2"/>
      <c r="H26" s="6"/>
      <c r="I26" s="6"/>
    </row>
    <row r="27" spans="1:9" x14ac:dyDescent="0.25">
      <c r="A27" s="2"/>
      <c r="B27" s="2"/>
      <c r="C27" s="6"/>
      <c r="D27" s="6"/>
      <c r="F27" s="2"/>
      <c r="G27" s="2"/>
      <c r="H27" s="6"/>
      <c r="I27" s="6"/>
    </row>
    <row r="28" spans="1:9" x14ac:dyDescent="0.25">
      <c r="A28" s="2"/>
      <c r="B28" s="2"/>
      <c r="C28" s="6"/>
      <c r="D28" s="6"/>
      <c r="F28" s="2"/>
      <c r="G28" s="2"/>
      <c r="H28" s="6"/>
      <c r="I28" s="6"/>
    </row>
    <row r="29" spans="1:9" x14ac:dyDescent="0.25">
      <c r="A29" s="2"/>
      <c r="B29" s="2"/>
      <c r="C29" s="6"/>
      <c r="D29" s="6"/>
      <c r="F29" s="2"/>
      <c r="G29" s="2"/>
      <c r="H29" s="6"/>
      <c r="I29" s="6"/>
    </row>
    <row r="30" spans="1:9" x14ac:dyDescent="0.25">
      <c r="A30" s="2"/>
      <c r="B30" s="7" t="s">
        <v>7</v>
      </c>
      <c r="C30" s="2"/>
      <c r="D30" s="6">
        <f>SUM(D10:D29)</f>
        <v>0</v>
      </c>
      <c r="F30" s="2"/>
      <c r="G30" s="7" t="s">
        <v>7</v>
      </c>
      <c r="H30" s="2"/>
      <c r="I30" s="6">
        <f>SUM(I10:I29)</f>
        <v>0</v>
      </c>
    </row>
    <row r="31" spans="1:9" x14ac:dyDescent="0.25">
      <c r="A31" s="2"/>
      <c r="B31" s="7" t="s">
        <v>8</v>
      </c>
      <c r="C31" s="2"/>
      <c r="D31" s="6">
        <f>+D30*0.24</f>
        <v>0</v>
      </c>
      <c r="F31" s="2"/>
      <c r="G31" s="7" t="s">
        <v>8</v>
      </c>
      <c r="H31" s="2"/>
      <c r="I31" s="6">
        <f>+I30*0.24</f>
        <v>0</v>
      </c>
    </row>
    <row r="32" spans="1:9" x14ac:dyDescent="0.25">
      <c r="A32" s="2"/>
      <c r="B32" s="7" t="s">
        <v>9</v>
      </c>
      <c r="C32" s="2"/>
      <c r="D32" s="6">
        <f>+D30+D31</f>
        <v>0</v>
      </c>
      <c r="F32" s="2"/>
      <c r="G32" s="7" t="s">
        <v>9</v>
      </c>
      <c r="H32" s="2"/>
      <c r="I32" s="6">
        <f>+I30+I31</f>
        <v>0</v>
      </c>
    </row>
  </sheetData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D17AE-F136-493C-9B02-F9DC2CEC1175}">
  <sheetPr codeName="Sheet4"/>
  <dimension ref="C1:K8"/>
  <sheetViews>
    <sheetView tabSelected="1" workbookViewId="0">
      <selection activeCell="E21" sqref="E21"/>
    </sheetView>
  </sheetViews>
  <sheetFormatPr defaultRowHeight="15" x14ac:dyDescent="0.25"/>
  <cols>
    <col min="1" max="1" width="4" customWidth="1"/>
    <col min="2" max="2" width="37.7109375" customWidth="1"/>
    <col min="3" max="3" width="12.5703125" customWidth="1"/>
    <col min="4" max="4" width="15.85546875" customWidth="1"/>
    <col min="5" max="5" width="14.42578125" customWidth="1"/>
    <col min="6" max="7" width="11.7109375" customWidth="1"/>
    <col min="8" max="8" width="11.28515625" customWidth="1"/>
    <col min="10" max="10" width="13.140625" customWidth="1"/>
  </cols>
  <sheetData>
    <row r="1" spans="3:11" ht="15.75" thickBot="1" x14ac:dyDescent="0.3"/>
    <row r="2" spans="3:11" x14ac:dyDescent="0.25">
      <c r="J2" s="12" t="s">
        <v>132</v>
      </c>
      <c r="K2" s="15" t="s">
        <v>135</v>
      </c>
    </row>
    <row r="3" spans="3:11" x14ac:dyDescent="0.25">
      <c r="J3" s="13" t="s">
        <v>131</v>
      </c>
      <c r="K3" s="16" t="s">
        <v>134</v>
      </c>
    </row>
    <row r="4" spans="3:11" ht="15.75" thickBot="1" x14ac:dyDescent="0.3">
      <c r="J4" s="14" t="s">
        <v>133</v>
      </c>
      <c r="K4" s="17" t="s">
        <v>136</v>
      </c>
    </row>
    <row r="8" spans="3:11" x14ac:dyDescent="0.25">
      <c r="C8" t="s">
        <v>129</v>
      </c>
    </row>
  </sheetData>
  <sortState xmlns:xlrd2="http://schemas.microsoft.com/office/spreadsheetml/2017/richdata2" ref="B11:B36">
    <sortCondition ref="B10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_xludf.RUN">
                <anchor moveWithCells="1">
                  <from>
                    <xdr:col>5</xdr:col>
                    <xdr:colOff>285750</xdr:colOff>
                    <xdr:row>1</xdr:row>
                    <xdr:rowOff>114300</xdr:rowOff>
                  </from>
                  <to>
                    <xdr:col>6</xdr:col>
                    <xdr:colOff>485775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5ED19-7007-43D6-AAD3-C60DB856A590}">
  <sheetPr codeName="Sheet3"/>
  <dimension ref="A1:H67"/>
  <sheetViews>
    <sheetView workbookViewId="0">
      <selection activeCell="A11" sqref="A11"/>
    </sheetView>
  </sheetViews>
  <sheetFormatPr defaultRowHeight="15" x14ac:dyDescent="0.25"/>
  <cols>
    <col min="2" max="2" width="29.5703125" customWidth="1"/>
    <col min="4" max="4" width="40.85546875" customWidth="1"/>
    <col min="5" max="5" width="22.5703125" customWidth="1"/>
    <col min="6" max="6" width="14.42578125" customWidth="1"/>
    <col min="7" max="7" width="12.7109375" customWidth="1"/>
    <col min="8" max="8" width="17.5703125" style="11" customWidth="1"/>
  </cols>
  <sheetData>
    <row r="1" spans="1:8" x14ac:dyDescent="0.25">
      <c r="A1" t="s">
        <v>10</v>
      </c>
      <c r="B1" t="s">
        <v>11</v>
      </c>
      <c r="C1" t="s">
        <v>137</v>
      </c>
      <c r="D1" t="s">
        <v>138</v>
      </c>
      <c r="F1" t="s">
        <v>13</v>
      </c>
      <c r="G1" t="s">
        <v>137</v>
      </c>
      <c r="H1" s="11" t="s">
        <v>14</v>
      </c>
    </row>
    <row r="2" spans="1:8" ht="15.75" x14ac:dyDescent="0.25">
      <c r="A2" s="2"/>
      <c r="B2" s="8" t="s">
        <v>17</v>
      </c>
      <c r="C2" s="6">
        <v>10</v>
      </c>
      <c r="D2" s="2" t="s">
        <v>76</v>
      </c>
      <c r="G2" s="10">
        <v>10</v>
      </c>
      <c r="H2" s="10">
        <v>20</v>
      </c>
    </row>
    <row r="3" spans="1:8" ht="15.75" x14ac:dyDescent="0.25">
      <c r="A3" s="2"/>
      <c r="B3" s="8" t="s">
        <v>18</v>
      </c>
      <c r="C3" s="6">
        <v>10</v>
      </c>
      <c r="D3" s="2" t="s">
        <v>85</v>
      </c>
      <c r="G3" s="10">
        <v>10</v>
      </c>
      <c r="H3" s="10">
        <v>20</v>
      </c>
    </row>
    <row r="4" spans="1:8" ht="15.75" x14ac:dyDescent="0.25">
      <c r="A4" s="2"/>
      <c r="B4" s="8" t="s">
        <v>19</v>
      </c>
      <c r="C4" s="6">
        <v>10</v>
      </c>
      <c r="D4" s="2" t="s">
        <v>80</v>
      </c>
      <c r="G4" s="10">
        <v>10</v>
      </c>
      <c r="H4" s="10">
        <v>20</v>
      </c>
    </row>
    <row r="5" spans="1:8" ht="15.75" x14ac:dyDescent="0.25">
      <c r="A5" s="2"/>
      <c r="B5" s="8" t="s">
        <v>20</v>
      </c>
      <c r="C5" s="6">
        <v>10</v>
      </c>
      <c r="D5" s="2" t="s">
        <v>108</v>
      </c>
      <c r="G5" s="10">
        <v>10</v>
      </c>
      <c r="H5" s="10">
        <v>20</v>
      </c>
    </row>
    <row r="6" spans="1:8" ht="15.75" x14ac:dyDescent="0.25">
      <c r="A6" s="2"/>
      <c r="B6" s="8" t="s">
        <v>21</v>
      </c>
      <c r="C6" s="6">
        <v>10</v>
      </c>
      <c r="D6" s="2" t="s">
        <v>117</v>
      </c>
      <c r="G6" s="10">
        <v>10</v>
      </c>
      <c r="H6" s="10">
        <v>20</v>
      </c>
    </row>
    <row r="7" spans="1:8" ht="15.75" x14ac:dyDescent="0.25">
      <c r="A7" s="2"/>
      <c r="B7" s="8" t="s">
        <v>22</v>
      </c>
      <c r="C7" s="6">
        <v>10</v>
      </c>
      <c r="D7" s="2" t="s">
        <v>126</v>
      </c>
      <c r="G7" s="10">
        <v>10</v>
      </c>
      <c r="H7" s="10">
        <v>20</v>
      </c>
    </row>
    <row r="8" spans="1:8" ht="15.75" x14ac:dyDescent="0.25">
      <c r="A8" s="2"/>
      <c r="B8" s="8" t="s">
        <v>23</v>
      </c>
      <c r="C8" s="6">
        <v>10</v>
      </c>
      <c r="D8" s="2" t="s">
        <v>98</v>
      </c>
      <c r="G8" s="10">
        <v>10</v>
      </c>
      <c r="H8" s="10">
        <v>20</v>
      </c>
    </row>
    <row r="9" spans="1:8" ht="15.75" x14ac:dyDescent="0.25">
      <c r="A9" s="2"/>
      <c r="B9" s="8" t="s">
        <v>24</v>
      </c>
      <c r="C9" s="6">
        <v>10</v>
      </c>
      <c r="D9" s="2" t="s">
        <v>84</v>
      </c>
      <c r="G9" s="10">
        <v>10</v>
      </c>
      <c r="H9" s="10">
        <v>20</v>
      </c>
    </row>
    <row r="10" spans="1:8" ht="15.75" x14ac:dyDescent="0.25">
      <c r="A10" s="2"/>
      <c r="B10" s="8" t="s">
        <v>25</v>
      </c>
      <c r="C10" s="6">
        <v>10</v>
      </c>
      <c r="D10" s="2" t="s">
        <v>79</v>
      </c>
      <c r="G10" s="10">
        <v>10</v>
      </c>
      <c r="H10" s="10">
        <v>20</v>
      </c>
    </row>
    <row r="11" spans="1:8" ht="15.75" x14ac:dyDescent="0.25">
      <c r="A11" s="2"/>
      <c r="B11" s="8" t="s">
        <v>26</v>
      </c>
      <c r="C11" s="6">
        <v>10</v>
      </c>
      <c r="D11" s="2" t="s">
        <v>116</v>
      </c>
      <c r="G11" s="10">
        <v>10</v>
      </c>
      <c r="H11" s="10">
        <v>20</v>
      </c>
    </row>
    <row r="12" spans="1:8" ht="15.75" x14ac:dyDescent="0.25">
      <c r="A12" s="2"/>
      <c r="B12" s="8" t="s">
        <v>27</v>
      </c>
      <c r="C12" s="6">
        <v>10</v>
      </c>
      <c r="D12" s="2" t="s">
        <v>90</v>
      </c>
      <c r="G12" s="10">
        <v>10</v>
      </c>
      <c r="H12" s="10">
        <v>20</v>
      </c>
    </row>
    <row r="13" spans="1:8" ht="15.75" x14ac:dyDescent="0.25">
      <c r="A13" s="2"/>
      <c r="B13" s="8" t="s">
        <v>28</v>
      </c>
      <c r="C13" s="6">
        <v>10</v>
      </c>
      <c r="D13" s="2" t="s">
        <v>127</v>
      </c>
      <c r="G13" s="10">
        <v>10</v>
      </c>
      <c r="H13" s="10">
        <v>20</v>
      </c>
    </row>
    <row r="14" spans="1:8" ht="15.75" x14ac:dyDescent="0.25">
      <c r="A14" s="2"/>
      <c r="B14" s="8" t="s">
        <v>29</v>
      </c>
      <c r="C14" s="6">
        <v>10</v>
      </c>
      <c r="D14" s="2" t="s">
        <v>130</v>
      </c>
      <c r="G14" s="10">
        <v>10</v>
      </c>
      <c r="H14" s="10">
        <v>20</v>
      </c>
    </row>
    <row r="15" spans="1:8" ht="15.75" x14ac:dyDescent="0.25">
      <c r="A15" s="2"/>
      <c r="B15" s="8" t="s">
        <v>30</v>
      </c>
      <c r="C15" s="6">
        <v>1</v>
      </c>
      <c r="D15" s="2" t="s">
        <v>96</v>
      </c>
      <c r="G15" s="10">
        <v>1</v>
      </c>
      <c r="H15" s="10">
        <v>2</v>
      </c>
    </row>
    <row r="16" spans="1:8" ht="15.75" x14ac:dyDescent="0.25">
      <c r="A16" s="2"/>
      <c r="B16" s="8" t="s">
        <v>31</v>
      </c>
      <c r="C16" s="6">
        <v>1</v>
      </c>
      <c r="D16" s="2" t="s">
        <v>86</v>
      </c>
      <c r="G16" s="10">
        <v>1</v>
      </c>
      <c r="H16" s="10">
        <v>2</v>
      </c>
    </row>
    <row r="17" spans="1:8" ht="15.75" x14ac:dyDescent="0.25">
      <c r="A17" s="2"/>
      <c r="B17" s="8" t="s">
        <v>32</v>
      </c>
      <c r="C17" s="6">
        <v>1</v>
      </c>
      <c r="D17" s="2" t="s">
        <v>86</v>
      </c>
      <c r="G17" s="10">
        <v>1</v>
      </c>
      <c r="H17" s="10">
        <v>2</v>
      </c>
    </row>
    <row r="18" spans="1:8" ht="15.75" x14ac:dyDescent="0.25">
      <c r="A18" s="2"/>
      <c r="B18" s="8" t="s">
        <v>68</v>
      </c>
      <c r="C18" s="6">
        <v>1</v>
      </c>
      <c r="D18" s="2" t="s">
        <v>86</v>
      </c>
      <c r="G18" s="10">
        <v>1</v>
      </c>
      <c r="H18" s="10">
        <v>2</v>
      </c>
    </row>
    <row r="19" spans="1:8" ht="15.75" x14ac:dyDescent="0.25">
      <c r="A19" s="2"/>
      <c r="B19" s="8" t="s">
        <v>33</v>
      </c>
      <c r="C19" s="6">
        <v>1</v>
      </c>
      <c r="D19" s="2" t="s">
        <v>87</v>
      </c>
      <c r="G19" s="10">
        <v>1</v>
      </c>
      <c r="H19" s="10">
        <v>2</v>
      </c>
    </row>
    <row r="20" spans="1:8" ht="15.75" x14ac:dyDescent="0.25">
      <c r="A20" s="2"/>
      <c r="B20" s="8" t="s">
        <v>34</v>
      </c>
      <c r="C20" s="6">
        <v>1</v>
      </c>
      <c r="D20" s="2" t="s">
        <v>107</v>
      </c>
      <c r="G20" s="10">
        <v>1</v>
      </c>
      <c r="H20" s="10">
        <v>2</v>
      </c>
    </row>
    <row r="21" spans="1:8" ht="15.75" x14ac:dyDescent="0.25">
      <c r="A21" s="2"/>
      <c r="B21" s="8" t="s">
        <v>35</v>
      </c>
      <c r="C21" s="6">
        <v>1</v>
      </c>
      <c r="D21" s="2" t="s">
        <v>94</v>
      </c>
      <c r="G21" s="10">
        <v>1</v>
      </c>
      <c r="H21" s="10">
        <v>2</v>
      </c>
    </row>
    <row r="22" spans="1:8" ht="15.75" x14ac:dyDescent="0.25">
      <c r="A22" s="2"/>
      <c r="B22" s="9" t="s">
        <v>36</v>
      </c>
      <c r="C22" s="6">
        <v>1</v>
      </c>
      <c r="D22" s="2" t="s">
        <v>89</v>
      </c>
      <c r="G22" s="10">
        <v>1</v>
      </c>
      <c r="H22" s="10">
        <v>2</v>
      </c>
    </row>
    <row r="23" spans="1:8" ht="15.75" x14ac:dyDescent="0.25">
      <c r="A23" s="2"/>
      <c r="B23" s="8" t="s">
        <v>37</v>
      </c>
      <c r="C23" s="6">
        <v>1</v>
      </c>
      <c r="D23" s="2" t="s">
        <v>99</v>
      </c>
      <c r="G23" s="10">
        <v>1</v>
      </c>
      <c r="H23" s="10">
        <v>2</v>
      </c>
    </row>
    <row r="24" spans="1:8" ht="15.75" x14ac:dyDescent="0.25">
      <c r="A24" s="2"/>
      <c r="B24" s="8" t="s">
        <v>38</v>
      </c>
      <c r="C24" s="6">
        <v>1</v>
      </c>
      <c r="D24" s="2" t="s">
        <v>89</v>
      </c>
      <c r="G24" s="10">
        <v>1</v>
      </c>
      <c r="H24" s="10">
        <v>2</v>
      </c>
    </row>
    <row r="25" spans="1:8" ht="15.75" x14ac:dyDescent="0.25">
      <c r="A25" s="2"/>
      <c r="B25" s="8" t="s">
        <v>39</v>
      </c>
      <c r="C25" s="6">
        <v>1</v>
      </c>
      <c r="D25" s="2" t="s">
        <v>97</v>
      </c>
      <c r="G25" s="10">
        <v>1</v>
      </c>
      <c r="H25" s="10">
        <v>2</v>
      </c>
    </row>
    <row r="26" spans="1:8" ht="15.75" x14ac:dyDescent="0.25">
      <c r="A26" s="2"/>
      <c r="B26" s="8" t="s">
        <v>40</v>
      </c>
      <c r="C26" s="6">
        <v>1</v>
      </c>
      <c r="D26" s="2" t="s">
        <v>91</v>
      </c>
      <c r="G26" s="10">
        <v>1</v>
      </c>
      <c r="H26" s="10">
        <v>2</v>
      </c>
    </row>
    <row r="27" spans="1:8" ht="15.75" x14ac:dyDescent="0.25">
      <c r="A27" s="2"/>
      <c r="B27" s="8" t="s">
        <v>41</v>
      </c>
      <c r="C27" s="6">
        <v>1</v>
      </c>
      <c r="D27" s="2" t="s">
        <v>108</v>
      </c>
      <c r="G27" s="10">
        <v>1</v>
      </c>
      <c r="H27" s="10">
        <v>2</v>
      </c>
    </row>
    <row r="28" spans="1:8" ht="15.75" x14ac:dyDescent="0.25">
      <c r="A28" s="2"/>
      <c r="B28" s="8" t="s">
        <v>42</v>
      </c>
      <c r="C28" s="6">
        <v>1</v>
      </c>
      <c r="D28" s="2" t="s">
        <v>93</v>
      </c>
      <c r="G28" s="10">
        <v>1</v>
      </c>
      <c r="H28" s="10">
        <v>2</v>
      </c>
    </row>
    <row r="29" spans="1:8" ht="15.75" x14ac:dyDescent="0.25">
      <c r="A29" s="2"/>
      <c r="B29" s="8" t="s">
        <v>43</v>
      </c>
      <c r="C29" s="6">
        <v>1</v>
      </c>
      <c r="D29" s="2" t="s">
        <v>105</v>
      </c>
      <c r="G29" s="10">
        <v>1</v>
      </c>
      <c r="H29" s="10">
        <v>2</v>
      </c>
    </row>
    <row r="30" spans="1:8" ht="15.75" x14ac:dyDescent="0.25">
      <c r="A30" s="2"/>
      <c r="B30" s="8" t="s">
        <v>44</v>
      </c>
      <c r="C30" s="6">
        <v>1</v>
      </c>
      <c r="D30" s="2" t="s">
        <v>80</v>
      </c>
      <c r="G30" s="10">
        <v>1</v>
      </c>
      <c r="H30" s="10">
        <v>2</v>
      </c>
    </row>
    <row r="31" spans="1:8" ht="15.75" x14ac:dyDescent="0.25">
      <c r="A31" s="2"/>
      <c r="B31" s="8" t="s">
        <v>45</v>
      </c>
      <c r="C31" s="6">
        <v>1</v>
      </c>
      <c r="D31" s="2" t="s">
        <v>113</v>
      </c>
      <c r="E31" t="s">
        <v>112</v>
      </c>
      <c r="G31" s="10">
        <v>1</v>
      </c>
      <c r="H31" s="10">
        <v>2</v>
      </c>
    </row>
    <row r="32" spans="1:8" ht="15.75" x14ac:dyDescent="0.25">
      <c r="A32" s="2"/>
      <c r="B32" s="8" t="s">
        <v>45</v>
      </c>
      <c r="C32" s="6">
        <v>1</v>
      </c>
      <c r="D32" s="2" t="s">
        <v>114</v>
      </c>
      <c r="E32" t="s">
        <v>115</v>
      </c>
      <c r="G32" s="10">
        <v>1</v>
      </c>
      <c r="H32" s="10">
        <v>2</v>
      </c>
    </row>
    <row r="33" spans="1:8" ht="15.75" x14ac:dyDescent="0.25">
      <c r="A33" s="2"/>
      <c r="B33" s="8" t="s">
        <v>46</v>
      </c>
      <c r="C33" s="6">
        <v>1</v>
      </c>
      <c r="D33" s="2" t="s">
        <v>96</v>
      </c>
      <c r="G33" s="10">
        <v>1</v>
      </c>
      <c r="H33" s="10">
        <v>2</v>
      </c>
    </row>
    <row r="34" spans="1:8" ht="15.75" x14ac:dyDescent="0.25">
      <c r="A34" s="2"/>
      <c r="B34" s="8" t="s">
        <v>47</v>
      </c>
      <c r="C34" s="6">
        <v>1</v>
      </c>
      <c r="D34" s="2" t="s">
        <v>95</v>
      </c>
      <c r="G34" s="10">
        <v>1</v>
      </c>
      <c r="H34" s="10">
        <v>2</v>
      </c>
    </row>
    <row r="35" spans="1:8" ht="15.75" x14ac:dyDescent="0.25">
      <c r="A35" s="2"/>
      <c r="B35" s="8" t="s">
        <v>48</v>
      </c>
      <c r="C35" s="6">
        <v>1</v>
      </c>
      <c r="D35" s="2" t="s">
        <v>92</v>
      </c>
      <c r="G35" s="10">
        <v>1</v>
      </c>
      <c r="H35" s="10">
        <v>2</v>
      </c>
    </row>
    <row r="36" spans="1:8" ht="15.75" x14ac:dyDescent="0.25">
      <c r="A36" s="2"/>
      <c r="B36" s="8" t="s">
        <v>49</v>
      </c>
      <c r="C36" s="6">
        <v>1</v>
      </c>
      <c r="D36" s="2" t="s">
        <v>111</v>
      </c>
      <c r="G36" s="10">
        <v>1</v>
      </c>
      <c r="H36" s="10">
        <v>2</v>
      </c>
    </row>
    <row r="37" spans="1:8" ht="15.75" x14ac:dyDescent="0.25">
      <c r="A37" s="2"/>
      <c r="B37" s="8" t="s">
        <v>50</v>
      </c>
      <c r="C37" s="6">
        <v>1</v>
      </c>
      <c r="D37" s="2" t="s">
        <v>104</v>
      </c>
      <c r="G37" s="10">
        <v>1</v>
      </c>
      <c r="H37" s="10">
        <v>2</v>
      </c>
    </row>
    <row r="38" spans="1:8" ht="15.75" x14ac:dyDescent="0.25">
      <c r="A38" s="2"/>
      <c r="B38" s="8" t="s">
        <v>51</v>
      </c>
      <c r="C38" s="6">
        <v>1</v>
      </c>
      <c r="D38" s="2" t="s">
        <v>81</v>
      </c>
      <c r="G38" s="10">
        <v>1</v>
      </c>
      <c r="H38" s="10">
        <v>2</v>
      </c>
    </row>
    <row r="39" spans="1:8" ht="15.75" x14ac:dyDescent="0.25">
      <c r="A39" s="2"/>
      <c r="B39" s="8" t="s">
        <v>69</v>
      </c>
      <c r="C39" s="6">
        <v>1</v>
      </c>
      <c r="D39" s="2" t="s">
        <v>128</v>
      </c>
      <c r="G39" s="10">
        <v>1</v>
      </c>
      <c r="H39" s="10">
        <v>2</v>
      </c>
    </row>
    <row r="40" spans="1:8" ht="15.75" x14ac:dyDescent="0.25">
      <c r="A40" s="2"/>
      <c r="B40" s="8" t="s">
        <v>52</v>
      </c>
      <c r="C40" s="6">
        <v>1</v>
      </c>
      <c r="D40" s="2" t="s">
        <v>77</v>
      </c>
      <c r="G40" s="10">
        <v>1</v>
      </c>
      <c r="H40" s="10">
        <v>2</v>
      </c>
    </row>
    <row r="41" spans="1:8" ht="15.75" x14ac:dyDescent="0.25">
      <c r="A41" s="2"/>
      <c r="B41" s="8" t="s">
        <v>53</v>
      </c>
      <c r="C41" s="6">
        <v>1</v>
      </c>
      <c r="D41" s="2" t="s">
        <v>98</v>
      </c>
      <c r="G41" s="10">
        <v>1</v>
      </c>
      <c r="H41" s="10">
        <v>2</v>
      </c>
    </row>
    <row r="42" spans="1:8" ht="15.75" x14ac:dyDescent="0.25">
      <c r="A42" s="2"/>
      <c r="B42" s="8" t="s">
        <v>54</v>
      </c>
      <c r="C42" s="6">
        <v>1</v>
      </c>
      <c r="D42" s="2" t="s">
        <v>78</v>
      </c>
      <c r="G42" s="10">
        <v>1</v>
      </c>
      <c r="H42" s="10">
        <v>2</v>
      </c>
    </row>
    <row r="43" spans="1:8" ht="15.75" x14ac:dyDescent="0.25">
      <c r="A43" s="2"/>
      <c r="B43" s="8" t="s">
        <v>55</v>
      </c>
      <c r="C43" s="6">
        <v>1</v>
      </c>
      <c r="D43" s="2" t="s">
        <v>82</v>
      </c>
      <c r="G43" s="10">
        <v>1</v>
      </c>
      <c r="H43" s="10">
        <v>2</v>
      </c>
    </row>
    <row r="44" spans="1:8" ht="15.75" x14ac:dyDescent="0.25">
      <c r="A44" s="2"/>
      <c r="B44" s="8" t="s">
        <v>12</v>
      </c>
      <c r="C44" s="6">
        <v>1</v>
      </c>
      <c r="D44" s="2" t="s">
        <v>118</v>
      </c>
      <c r="G44" s="10">
        <v>1</v>
      </c>
      <c r="H44" s="10">
        <v>2</v>
      </c>
    </row>
    <row r="45" spans="1:8" ht="15.75" x14ac:dyDescent="0.25">
      <c r="A45" s="2"/>
      <c r="B45" s="8" t="s">
        <v>56</v>
      </c>
      <c r="C45" s="6">
        <v>1</v>
      </c>
      <c r="D45" s="2" t="s">
        <v>103</v>
      </c>
      <c r="G45" s="10">
        <v>1</v>
      </c>
      <c r="H45" s="10">
        <v>2</v>
      </c>
    </row>
    <row r="46" spans="1:8" ht="15.75" x14ac:dyDescent="0.25">
      <c r="A46" s="2"/>
      <c r="B46" s="8" t="s">
        <v>57</v>
      </c>
      <c r="C46" s="6">
        <v>1</v>
      </c>
      <c r="D46" s="2" t="s">
        <v>84</v>
      </c>
      <c r="G46" s="10">
        <v>1</v>
      </c>
      <c r="H46" s="10">
        <v>2</v>
      </c>
    </row>
    <row r="47" spans="1:8" ht="15.75" x14ac:dyDescent="0.25">
      <c r="A47" s="2"/>
      <c r="B47" s="8" t="s">
        <v>58</v>
      </c>
      <c r="C47" s="6">
        <v>1</v>
      </c>
      <c r="D47" s="2" t="s">
        <v>83</v>
      </c>
      <c r="G47" s="10">
        <v>1</v>
      </c>
      <c r="H47" s="10">
        <v>2</v>
      </c>
    </row>
    <row r="48" spans="1:8" ht="15.75" x14ac:dyDescent="0.25">
      <c r="A48" s="2"/>
      <c r="B48" s="8" t="s">
        <v>59</v>
      </c>
      <c r="C48" s="6">
        <v>1</v>
      </c>
      <c r="D48" s="2" t="s">
        <v>102</v>
      </c>
      <c r="G48" s="10">
        <v>1</v>
      </c>
      <c r="H48" s="10">
        <v>2</v>
      </c>
    </row>
    <row r="49" spans="1:8" ht="15.75" x14ac:dyDescent="0.25">
      <c r="A49" s="2"/>
      <c r="B49" s="8" t="s">
        <v>60</v>
      </c>
      <c r="C49" s="6">
        <v>1</v>
      </c>
      <c r="D49" s="2" t="s">
        <v>88</v>
      </c>
      <c r="G49" s="10">
        <v>1</v>
      </c>
      <c r="H49" s="10">
        <v>2</v>
      </c>
    </row>
    <row r="50" spans="1:8" ht="15.75" x14ac:dyDescent="0.25">
      <c r="A50" s="2"/>
      <c r="B50" s="8" t="s">
        <v>15</v>
      </c>
      <c r="C50" s="6">
        <v>1</v>
      </c>
      <c r="D50" s="2" t="s">
        <v>79</v>
      </c>
      <c r="G50" s="10">
        <v>1</v>
      </c>
      <c r="H50" s="10">
        <v>2</v>
      </c>
    </row>
    <row r="51" spans="1:8" ht="15.75" x14ac:dyDescent="0.25">
      <c r="A51" s="2"/>
      <c r="B51" s="8" t="s">
        <v>61</v>
      </c>
      <c r="C51" s="6">
        <v>1</v>
      </c>
      <c r="D51" s="2" t="s">
        <v>110</v>
      </c>
      <c r="G51" s="10">
        <v>1</v>
      </c>
      <c r="H51" s="10">
        <v>2</v>
      </c>
    </row>
    <row r="52" spans="1:8" ht="15.75" x14ac:dyDescent="0.25">
      <c r="A52" s="2"/>
      <c r="B52" s="8" t="s">
        <v>62</v>
      </c>
      <c r="C52" s="6">
        <v>1</v>
      </c>
      <c r="D52" s="2" t="s">
        <v>109</v>
      </c>
      <c r="G52" s="10">
        <v>1</v>
      </c>
      <c r="H52" s="10">
        <v>2</v>
      </c>
    </row>
    <row r="53" spans="1:8" ht="15.75" x14ac:dyDescent="0.25">
      <c r="A53" s="2"/>
      <c r="B53" s="8" t="s">
        <v>63</v>
      </c>
      <c r="C53" s="6">
        <v>1</v>
      </c>
      <c r="D53" s="2" t="s">
        <v>106</v>
      </c>
      <c r="G53" s="10">
        <v>1</v>
      </c>
      <c r="H53" s="10">
        <v>2</v>
      </c>
    </row>
    <row r="54" spans="1:8" ht="15.75" x14ac:dyDescent="0.25">
      <c r="A54" s="2"/>
      <c r="B54" s="8" t="s">
        <v>16</v>
      </c>
      <c r="C54" s="6">
        <v>1</v>
      </c>
      <c r="D54" s="2" t="s">
        <v>101</v>
      </c>
      <c r="G54" s="10">
        <v>1</v>
      </c>
      <c r="H54" s="10">
        <v>2</v>
      </c>
    </row>
    <row r="55" spans="1:8" ht="15.75" x14ac:dyDescent="0.25">
      <c r="A55" s="2"/>
      <c r="B55" s="8" t="s">
        <v>64</v>
      </c>
      <c r="C55" s="6">
        <v>1</v>
      </c>
      <c r="D55" s="2" t="s">
        <v>117</v>
      </c>
      <c r="G55" s="10">
        <v>1</v>
      </c>
      <c r="H55" s="10">
        <v>2</v>
      </c>
    </row>
    <row r="56" spans="1:8" ht="15.75" x14ac:dyDescent="0.25">
      <c r="A56" s="2"/>
      <c r="B56" s="8" t="s">
        <v>65</v>
      </c>
      <c r="C56" s="6">
        <v>1</v>
      </c>
      <c r="D56" s="2" t="s">
        <v>100</v>
      </c>
      <c r="G56" s="10">
        <v>1</v>
      </c>
      <c r="H56" s="10">
        <v>2</v>
      </c>
    </row>
    <row r="57" spans="1:8" ht="15.75" x14ac:dyDescent="0.25">
      <c r="A57" s="2"/>
      <c r="B57" s="8" t="s">
        <v>70</v>
      </c>
      <c r="C57" s="6">
        <v>1</v>
      </c>
      <c r="D57" s="2" t="s">
        <v>116</v>
      </c>
      <c r="G57" s="10">
        <v>1</v>
      </c>
      <c r="H57" s="10">
        <v>2</v>
      </c>
    </row>
    <row r="58" spans="1:8" ht="15.75" x14ac:dyDescent="0.25">
      <c r="A58" s="2"/>
      <c r="B58" s="8" t="s">
        <v>66</v>
      </c>
      <c r="C58" s="6">
        <v>1</v>
      </c>
      <c r="D58" s="2" t="s">
        <v>90</v>
      </c>
      <c r="G58" s="10">
        <v>1</v>
      </c>
      <c r="H58" s="10">
        <v>2</v>
      </c>
    </row>
    <row r="59" spans="1:8" ht="15.75" x14ac:dyDescent="0.25">
      <c r="A59" s="2"/>
      <c r="B59" s="8" t="s">
        <v>67</v>
      </c>
      <c r="C59" s="6">
        <v>1</v>
      </c>
      <c r="D59" s="2" t="s">
        <v>84</v>
      </c>
      <c r="G59" s="10">
        <v>1</v>
      </c>
      <c r="H59" s="10">
        <v>2</v>
      </c>
    </row>
    <row r="60" spans="1:8" ht="15.75" x14ac:dyDescent="0.25">
      <c r="A60" s="2"/>
      <c r="B60" s="8" t="s">
        <v>71</v>
      </c>
      <c r="C60" s="6">
        <v>1</v>
      </c>
      <c r="D60" s="2" t="s">
        <v>122</v>
      </c>
      <c r="G60" s="10">
        <v>1</v>
      </c>
      <c r="H60" s="10">
        <v>2</v>
      </c>
    </row>
    <row r="61" spans="1:8" ht="15.75" x14ac:dyDescent="0.25">
      <c r="A61" s="2"/>
      <c r="B61" s="8" t="s">
        <v>123</v>
      </c>
      <c r="C61" s="6">
        <v>1</v>
      </c>
      <c r="D61" s="2" t="s">
        <v>124</v>
      </c>
      <c r="G61" s="10">
        <v>1</v>
      </c>
      <c r="H61" s="10">
        <v>2</v>
      </c>
    </row>
    <row r="62" spans="1:8" ht="15.75" x14ac:dyDescent="0.25">
      <c r="A62" s="2"/>
      <c r="B62" s="8" t="s">
        <v>72</v>
      </c>
      <c r="C62" s="6">
        <v>1</v>
      </c>
      <c r="D62" s="2" t="s">
        <v>125</v>
      </c>
      <c r="G62" s="10">
        <v>1</v>
      </c>
      <c r="H62" s="10">
        <v>2</v>
      </c>
    </row>
    <row r="63" spans="1:8" ht="15.75" x14ac:dyDescent="0.25">
      <c r="A63" s="2"/>
      <c r="B63" s="8" t="s">
        <v>73</v>
      </c>
      <c r="C63" s="6">
        <v>1</v>
      </c>
      <c r="D63" s="2" t="s">
        <v>119</v>
      </c>
      <c r="G63" s="10">
        <v>1</v>
      </c>
      <c r="H63" s="10">
        <v>2</v>
      </c>
    </row>
    <row r="64" spans="1:8" ht="15.75" x14ac:dyDescent="0.25">
      <c r="A64" s="2"/>
      <c r="B64" s="8" t="s">
        <v>74</v>
      </c>
      <c r="C64" s="6">
        <v>1</v>
      </c>
      <c r="D64" s="2" t="s">
        <v>120</v>
      </c>
      <c r="G64" s="10">
        <v>1</v>
      </c>
      <c r="H64" s="10">
        <v>2</v>
      </c>
    </row>
    <row r="65" spans="1:8" ht="15.75" x14ac:dyDescent="0.25">
      <c r="A65" s="2"/>
      <c r="B65" s="8" t="s">
        <v>75</v>
      </c>
      <c r="C65" s="6">
        <v>1</v>
      </c>
      <c r="D65" s="2" t="s">
        <v>121</v>
      </c>
      <c r="G65" s="10">
        <v>1</v>
      </c>
      <c r="H65" s="10">
        <v>2</v>
      </c>
    </row>
    <row r="66" spans="1:8" x14ac:dyDescent="0.25">
      <c r="A66" s="18"/>
    </row>
    <row r="67" spans="1:8" x14ac:dyDescent="0.25">
      <c r="A67" s="18"/>
    </row>
  </sheetData>
  <protectedRanges>
    <protectedRange sqref="B2:B59" name="Range1"/>
    <protectedRange sqref="G2:H65" name="Range2_1"/>
  </protectedRanges>
  <phoneticPr fontId="1" type="noConversion"/>
  <dataValidations count="1">
    <dataValidation type="custom" allowBlank="1" showInputMessage="1" showErrorMessage="1" error="max. 3 desimaalia" sqref="G2:H65" xr:uid="{FD445888-BC46-4E39-8F26-5912F6606E06}">
      <formula1>G2=INT(G2*1000)/1000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nnat_PRisma">
                <anchor moveWithCells="1">
                  <from>
                    <xdr:col>4</xdr:col>
                    <xdr:colOff>695325</xdr:colOff>
                    <xdr:row>1</xdr:row>
                    <xdr:rowOff>0</xdr:rowOff>
                  </from>
                  <to>
                    <xdr:col>4</xdr:col>
                    <xdr:colOff>1238250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nnat_Muu">
                <anchor moveWithCells="1">
                  <from>
                    <xdr:col>4</xdr:col>
                    <xdr:colOff>695325</xdr:colOff>
                    <xdr:row>3</xdr:row>
                    <xdr:rowOff>28575</xdr:rowOff>
                  </from>
                  <to>
                    <xdr:col>4</xdr:col>
                    <xdr:colOff>1238250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FILL_LISTS">
                <anchor moveWithCells="1">
                  <from>
                    <xdr:col>4</xdr:col>
                    <xdr:colOff>409575</xdr:colOff>
                    <xdr:row>5</xdr:row>
                    <xdr:rowOff>114300</xdr:rowOff>
                  </from>
                  <to>
                    <xdr:col>5</xdr:col>
                    <xdr:colOff>85725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LIST</vt:lpstr>
      <vt:lpstr>ALTLIST</vt:lpstr>
      <vt:lpstr>Kasvipassi</vt:lpstr>
      <vt:lpstr>PRICES</vt:lpstr>
      <vt:lpstr>Kasvipassi!Print_Area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OMISTAJA</dc:creator>
  <cp:lastModifiedBy>Pikkis</cp:lastModifiedBy>
  <cp:lastPrinted>2023-06-01T07:23:11Z</cp:lastPrinted>
  <dcterms:created xsi:type="dcterms:W3CDTF">2020-04-22T07:34:54Z</dcterms:created>
  <dcterms:modified xsi:type="dcterms:W3CDTF">2023-06-26T11:43:10Z</dcterms:modified>
</cp:coreProperties>
</file>